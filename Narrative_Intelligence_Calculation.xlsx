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cing" sheetId="1" state="visible" r:id="rId1"/>
    <sheet xmlns:r="http://schemas.openxmlformats.org/officeDocument/2006/relationships" name="Tool Cost (B)" sheetId="2" state="visible" r:id="rId2"/>
  </sheets>
  <definedNames/>
  <calcPr calcId="124519" fullCalcOnLoad="1"/>
</workbook>
</file>

<file path=xl/styles.xml><?xml version="1.0" encoding="utf-8"?>
<styleSheet xmlns="http://schemas.openxmlformats.org/spreadsheetml/2006/main">
  <numFmts count="1">
    <numFmt numFmtId="164" formatCode="&quot;₹&quot; #,##,##0"/>
  </numFmts>
  <fonts count="12">
    <font>
      <name val="Calibri"/>
      <family val="2"/>
      <color theme="1"/>
      <sz val="11"/>
      <scheme val="minor"/>
    </font>
    <font>
      <name val="Calibri"/>
      <b val="1"/>
      <color rgb="00FFFFFF"/>
      <sz val="15"/>
    </font>
    <font>
      <name val="Calibri"/>
      <color rgb="00FFFFFF"/>
      <sz val="10"/>
    </font>
    <font>
      <name val="Calibri"/>
      <b val="1"/>
      <color rgb="00FFFFFF"/>
      <sz val="10"/>
    </font>
    <font>
      <name val="Calibri"/>
      <b val="1"/>
      <color rgb="001A2433"/>
      <sz val="10"/>
    </font>
    <font>
      <name val="Calibri"/>
      <color rgb="0052607A"/>
      <sz val="9"/>
    </font>
    <font>
      <name val="Calibri"/>
      <b val="1"/>
      <color rgb="00FFFFFF"/>
      <sz val="11"/>
    </font>
    <font>
      <name val="Calibri"/>
      <color rgb="001A2433"/>
      <sz val="10"/>
    </font>
    <font>
      <name val="Calibri"/>
      <b val="1"/>
      <color rgb="00FFFFFF"/>
      <sz val="12"/>
    </font>
    <font>
      <name val="Calibri"/>
      <b val="1"/>
      <color rgb="00FFFFFF"/>
      <sz val="16"/>
    </font>
    <font>
      <name val="Calibri"/>
      <b val="1"/>
      <color rgb="000E2A5E"/>
      <sz val="10"/>
    </font>
    <font>
      <name val="Calibri"/>
      <color rgb="0052607A"/>
      <sz val="8.5"/>
    </font>
  </fonts>
  <fills count="6">
    <fill>
      <patternFill/>
    </fill>
    <fill>
      <patternFill patternType="gray125"/>
    </fill>
    <fill>
      <patternFill patternType="solid">
        <fgColor rgb="000E2A5E"/>
      </patternFill>
    </fill>
    <fill>
      <patternFill patternType="solid">
        <fgColor rgb="00FFFFFF"/>
      </patternFill>
    </fill>
    <fill>
      <patternFill patternType="solid">
        <fgColor rgb="00F3F6FC"/>
      </patternFill>
    </fill>
    <fill>
      <patternFill patternType="solid">
        <fgColor rgb="00FF7A00"/>
      </patternFill>
    </fill>
  </fills>
  <borders count="2">
    <border>
      <left/>
      <right/>
      <top/>
      <bottom/>
      <diagonal/>
    </border>
    <border>
      <left style="thin">
        <color rgb="00C9D4E8"/>
      </left>
      <right style="thin">
        <color rgb="00C9D4E8"/>
      </right>
      <top style="thin">
        <color rgb="00C9D4E8"/>
      </top>
      <bottom style="thin">
        <color rgb="00C9D4E8"/>
      </bottom>
    </border>
  </borders>
  <cellStyleXfs count="1">
    <xf numFmtId="0" fontId="0" fillId="0" borderId="0"/>
  </cellStyleXfs>
  <cellXfs count="27">
    <xf numFmtId="0" fontId="0" fillId="0" borderId="0" pivotButton="0" quotePrefix="0" xfId="0"/>
    <xf numFmtId="0" fontId="9" fillId="2" borderId="1" applyAlignment="1" pivotButton="0" quotePrefix="0" xfId="0">
      <alignment horizontal="left" vertical="center"/>
    </xf>
    <xf numFmtId="0" fontId="2" fillId="2" borderId="1" applyAlignment="1" pivotButton="0" quotePrefix="0" xfId="0">
      <alignment horizontal="left" vertical="center"/>
    </xf>
    <xf numFmtId="0" fontId="3" fillId="2" borderId="1" applyAlignment="1" pivotButton="0" quotePrefix="0" xfId="0">
      <alignment horizontal="left" vertical="center" wrapText="1"/>
    </xf>
    <xf numFmtId="0" fontId="3" fillId="2" borderId="1" applyAlignment="1" pivotButton="0" quotePrefix="0" xfId="0">
      <alignment horizontal="center" vertical="center" wrapText="1"/>
    </xf>
    <xf numFmtId="0" fontId="4" fillId="3" borderId="1" applyAlignment="1" pivotButton="0" quotePrefix="0" xfId="0">
      <alignment horizontal="left" vertical="center"/>
    </xf>
    <xf numFmtId="0" fontId="7" fillId="3" borderId="1" applyAlignment="1" pivotButton="0" quotePrefix="0" xfId="0">
      <alignment horizontal="center" vertical="center"/>
    </xf>
    <xf numFmtId="164" fontId="7" fillId="3" borderId="1" applyAlignment="1" pivotButton="0" quotePrefix="0" xfId="0">
      <alignment horizontal="right" vertical="center"/>
    </xf>
    <xf numFmtId="164" fontId="10" fillId="3" borderId="1" applyAlignment="1" pivotButton="0" quotePrefix="0" xfId="0">
      <alignment horizontal="right" vertical="center"/>
    </xf>
    <xf numFmtId="0" fontId="7" fillId="4" borderId="1" applyAlignment="1" pivotButton="0" quotePrefix="0" xfId="0">
      <alignment horizontal="left" vertical="center"/>
    </xf>
    <xf numFmtId="0" fontId="7" fillId="4" borderId="1" applyAlignment="1" pivotButton="0" quotePrefix="0" xfId="0">
      <alignment horizontal="center" vertical="center"/>
    </xf>
    <xf numFmtId="164" fontId="7" fillId="4" borderId="1" applyAlignment="1" pivotButton="0" quotePrefix="0" xfId="0">
      <alignment horizontal="right" vertical="center"/>
    </xf>
    <xf numFmtId="164" fontId="10" fillId="4" borderId="1" applyAlignment="1" pivotButton="0" quotePrefix="0" xfId="0">
      <alignment horizontal="right" vertical="center"/>
    </xf>
    <xf numFmtId="0" fontId="7" fillId="3" borderId="1" applyAlignment="1" pivotButton="0" quotePrefix="0" xfId="0">
      <alignment horizontal="left" vertical="center"/>
    </xf>
    <xf numFmtId="0" fontId="6" fillId="5" borderId="1" applyAlignment="1" pivotButton="0" quotePrefix="0" xfId="0">
      <alignment horizontal="left" vertical="center"/>
    </xf>
    <xf numFmtId="0" fontId="7" fillId="5" borderId="1" applyAlignment="1" pivotButton="0" quotePrefix="0" xfId="0">
      <alignment horizontal="left" vertical="center"/>
    </xf>
    <xf numFmtId="164" fontId="3" fillId="5" borderId="1" applyAlignment="1" pivotButton="0" quotePrefix="0" xfId="0">
      <alignment horizontal="right" vertical="center"/>
    </xf>
    <xf numFmtId="164" fontId="8" fillId="5" borderId="1" applyAlignment="1" pivotButton="0" quotePrefix="0" xfId="0">
      <alignment horizontal="right" vertical="center"/>
    </xf>
    <xf numFmtId="0" fontId="11" fillId="0" borderId="1" applyAlignment="1" pivotButton="0" quotePrefix="0" xfId="0">
      <alignment horizontal="left" vertical="center" wrapText="1"/>
    </xf>
    <xf numFmtId="0" fontId="1" fillId="2" borderId="1" applyAlignment="1" pivotButton="0" quotePrefix="0" xfId="0">
      <alignment horizontal="left" vertical="center"/>
    </xf>
    <xf numFmtId="0" fontId="3" fillId="2" borderId="1" applyAlignment="1" pivotButton="0" quotePrefix="0" xfId="0">
      <alignment horizontal="left" vertical="center"/>
    </xf>
    <xf numFmtId="0" fontId="3" fillId="2" borderId="1" applyAlignment="1" pivotButton="0" quotePrefix="0" xfId="0">
      <alignment horizontal="right" vertical="center"/>
    </xf>
    <xf numFmtId="0" fontId="5" fillId="3" borderId="1" applyAlignment="1" pivotButton="0" quotePrefix="0" xfId="0">
      <alignment horizontal="left" vertical="center" wrapText="1"/>
    </xf>
    <xf numFmtId="164" fontId="4" fillId="3" borderId="1" applyAlignment="1" pivotButton="0" quotePrefix="0" xfId="0">
      <alignment horizontal="right" vertical="center"/>
    </xf>
    <xf numFmtId="0" fontId="4" fillId="4" borderId="1" applyAlignment="1" pivotButton="0" quotePrefix="0" xfId="0">
      <alignment horizontal="left" vertical="center"/>
    </xf>
    <xf numFmtId="0" fontId="5" fillId="4" borderId="1" applyAlignment="1" pivotButton="0" quotePrefix="0" xfId="0">
      <alignment horizontal="left" vertical="center" wrapText="1"/>
    </xf>
    <xf numFmtId="164"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showGridLines="0" workbookViewId="0">
      <pane ySplit="4" topLeftCell="A5" activePane="bottomLeft" state="frozen"/>
      <selection pane="bottomLeft" activeCell="A1" sqref="A1"/>
    </sheetView>
  </sheetViews>
  <sheetFormatPr baseColWidth="8" defaultRowHeight="15"/>
  <cols>
    <col width="34" customWidth="1" min="1" max="1"/>
    <col width="17" customWidth="1" min="2" max="2"/>
    <col width="17" customWidth="1" min="3" max="3"/>
    <col width="17" customWidth="1" min="4" max="4"/>
    <col width="17" customWidth="1" min="5" max="5"/>
    <col width="17" customWidth="1" min="6" max="6"/>
  </cols>
  <sheetData>
    <row r="1" ht="30" customHeight="1">
      <c r="A1" s="1" t="inlineStr">
        <is>
          <t>Campaign Technology Suite  -  Monthly Pricing</t>
        </is>
      </c>
    </row>
    <row r="2" ht="18" customHeight="1">
      <c r="A2" s="2" t="inlineStr">
        <is>
          <t>AAP Punjab 2027   |   Salary Total (A) + Tool Cost/Month (B) = Grand Total   |   Tool Cost breakdown on the 'Tool Cost (B)' sheet</t>
        </is>
      </c>
    </row>
    <row r="3" ht="6" customHeight="1"/>
    <row r="4" ht="30" customHeight="1">
      <c r="A4" s="3" t="inlineStr">
        <is>
          <t>Tool Name / Description</t>
        </is>
      </c>
      <c r="B4" s="4" t="inlineStr">
        <is>
          <t>Employees</t>
        </is>
      </c>
      <c r="C4" s="4" t="inlineStr">
        <is>
          <t>Avg Salary (₹)</t>
        </is>
      </c>
      <c r="D4" s="4" t="inlineStr">
        <is>
          <t>Salary Total (A)</t>
        </is>
      </c>
      <c r="E4" s="4" t="inlineStr">
        <is>
          <t>Tool Cost / Month (B)</t>
        </is>
      </c>
      <c r="F4" s="4" t="inlineStr">
        <is>
          <t>Grand Total (A+B)</t>
        </is>
      </c>
    </row>
    <row r="5" ht="22" customHeight="1">
      <c r="A5" s="5" t="inlineStr">
        <is>
          <t>Narrative Intelligence</t>
        </is>
      </c>
      <c r="B5" s="6" t="n">
        <v>6</v>
      </c>
      <c r="C5" s="7" t="n">
        <v>60000</v>
      </c>
      <c r="D5" s="7">
        <f>B5*C5</f>
        <v/>
      </c>
      <c r="E5" s="7">
        <f>'Tool Cost (B)'!C11</f>
        <v/>
      </c>
      <c r="F5" s="8">
        <f>D5+E5</f>
        <v/>
      </c>
    </row>
    <row r="6" ht="22" customHeight="1">
      <c r="A6" s="9" t="n"/>
      <c r="B6" s="10" t="n"/>
      <c r="C6" s="11" t="n"/>
      <c r="D6" s="11">
        <f>B6*C6</f>
        <v/>
      </c>
      <c r="E6" s="11" t="n"/>
      <c r="F6" s="12">
        <f>D6+E6</f>
        <v/>
      </c>
    </row>
    <row r="7" ht="22" customHeight="1">
      <c r="A7" s="13" t="n"/>
      <c r="B7" s="6" t="n"/>
      <c r="C7" s="7" t="n"/>
      <c r="D7" s="7">
        <f>B7*C7</f>
        <v/>
      </c>
      <c r="E7" s="7" t="n"/>
      <c r="F7" s="8">
        <f>D7+E7</f>
        <v/>
      </c>
    </row>
    <row r="8" ht="22" customHeight="1">
      <c r="A8" s="9" t="n"/>
      <c r="B8" s="10" t="n"/>
      <c r="C8" s="11" t="n"/>
      <c r="D8" s="11">
        <f>B8*C8</f>
        <v/>
      </c>
      <c r="E8" s="11" t="n"/>
      <c r="F8" s="12">
        <f>D8+E8</f>
        <v/>
      </c>
    </row>
    <row r="9" ht="22" customHeight="1">
      <c r="A9" s="13" t="n"/>
      <c r="B9" s="6" t="n"/>
      <c r="C9" s="7" t="n"/>
      <c r="D9" s="7">
        <f>B9*C9</f>
        <v/>
      </c>
      <c r="E9" s="7" t="n"/>
      <c r="F9" s="8">
        <f>D9+E9</f>
        <v/>
      </c>
    </row>
    <row r="10" ht="22" customHeight="1">
      <c r="A10" s="9" t="n"/>
      <c r="B10" s="10" t="n"/>
      <c r="C10" s="11" t="n"/>
      <c r="D10" s="11">
        <f>B10*C10</f>
        <v/>
      </c>
      <c r="E10" s="11" t="n"/>
      <c r="F10" s="12">
        <f>D10+E10</f>
        <v/>
      </c>
    </row>
    <row r="11" ht="26" customHeight="1">
      <c r="A11" s="14" t="inlineStr">
        <is>
          <t>TOTAL  (all tools)</t>
        </is>
      </c>
      <c r="B11" s="15" t="inlineStr"/>
      <c r="C11" s="15" t="inlineStr"/>
      <c r="D11" s="16">
        <f>SUM(D5:D10)</f>
        <v/>
      </c>
      <c r="E11" s="16">
        <f>SUM(E5:E10)</f>
        <v/>
      </c>
      <c r="F11" s="17">
        <f>SUM(F5:F10)</f>
        <v/>
      </c>
    </row>
    <row r="13" ht="30" customHeight="1">
      <c r="A13" s="18" t="inlineStr">
        <is>
          <t>Note: editable &amp; live. Tool Cost (B) auto-pulls from the 'Tool Cost (B)' sheet. Change any value there or here and Salary Total, Grand Total and the suite TOTAL recompute automatically. Add more tools in the blank rows.</t>
        </is>
      </c>
    </row>
  </sheetData>
  <mergeCells count="3">
    <mergeCell ref="A13:F13"/>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showGridLines="0" workbookViewId="0">
      <pane ySplit="4" topLeftCell="A5" activePane="bottomLeft" state="frozen"/>
      <selection pane="bottomLeft" activeCell="A1" sqref="A1"/>
    </sheetView>
  </sheetViews>
  <sheetFormatPr baseColWidth="8" defaultRowHeight="15"/>
  <cols>
    <col width="30" customWidth="1" min="1" max="1"/>
    <col width="60" customWidth="1" min="2" max="2"/>
    <col width="18" customWidth="1" min="3" max="3"/>
  </cols>
  <sheetData>
    <row r="1" ht="28" customHeight="1">
      <c r="A1" s="19" t="inlineStr">
        <is>
          <t>Narrative Intelligence  -  Tool Cost / Month (B) Breakdown</t>
        </is>
      </c>
    </row>
    <row r="2" ht="18" customHeight="1">
      <c r="A2" s="2" t="inlineStr">
        <is>
          <t>What the monthly tool / infrastructure cost covers (excludes team salaries)</t>
        </is>
      </c>
    </row>
    <row r="3" ht="6" customHeight="1"/>
    <row r="4" ht="22" customHeight="1">
      <c r="A4" s="20" t="inlineStr">
        <is>
          <t>Component</t>
        </is>
      </c>
      <c r="B4" s="20" t="inlineStr">
        <is>
          <t>What it covers</t>
        </is>
      </c>
      <c r="C4" s="21" t="inlineStr">
        <is>
          <t>Monthly (INR)</t>
        </is>
      </c>
    </row>
    <row r="5" ht="30" customHeight="1">
      <c r="A5" s="5" t="inlineStr">
        <is>
          <t>Claude AI / Vision Analysis</t>
        </is>
      </c>
      <c r="B5" s="22" t="inlineStr">
        <is>
          <t>~10,000 ads/day read &amp; classified by Claude AI + narrative forecast &amp; counter-strategy (Anthropic API billing)</t>
        </is>
      </c>
      <c r="C5" s="23" t="n">
        <v>150000</v>
      </c>
    </row>
    <row r="6" ht="30" customHeight="1">
      <c r="A6" s="24" t="inlineStr">
        <is>
          <t>Server &amp; Cloud Infrastructure</t>
        </is>
      </c>
      <c r="B6" s="25" t="inlineStr">
        <is>
          <t>24/7 production server, compute, uptime, load handling</t>
        </is>
      </c>
      <c r="C6" s="26" t="n">
        <v>60000</v>
      </c>
    </row>
    <row r="7" ht="30" customHeight="1">
      <c r="A7" s="5" t="inlineStr">
        <is>
          <t>Proxy &amp; IP Rotation</t>
        </is>
      </c>
      <c r="B7" s="22" t="inlineStr">
        <is>
          <t>Rotating proxies / IPs for reliable large-scale data collection</t>
        </is>
      </c>
      <c r="C7" s="23" t="n">
        <v>40000</v>
      </c>
    </row>
    <row r="8" ht="30" customHeight="1">
      <c r="A8" s="24" t="inlineStr">
        <is>
          <t>Database, Storage &amp; Archive</t>
        </is>
      </c>
      <c r="B8" s="25" t="inlineStr">
        <is>
          <t>Permanent record of 3,00,000+ ads/month, indexing &amp; backups</t>
        </is>
      </c>
      <c r="C8" s="26" t="n">
        <v>30000</v>
      </c>
    </row>
    <row r="9" ht="30" customHeight="1">
      <c r="A9" s="5" t="inlineStr">
        <is>
          <t>Maintenance, DevOps &amp; Security</t>
        </is>
      </c>
      <c r="B9" s="22" t="inlineStr">
        <is>
          <t>Updates, monitoring, security patches, incident response</t>
        </is>
      </c>
      <c r="C9" s="23" t="n">
        <v>30000</v>
      </c>
    </row>
    <row r="10" ht="30" customHeight="1">
      <c r="A10" s="24" t="inlineStr">
        <is>
          <t>Domain, SSL, API &amp; Misc</t>
        </is>
      </c>
      <c r="B10" s="25" t="inlineStr">
        <is>
          <t>Domain, SSL, Meta Ad Library API access &amp; misc infrastructure</t>
        </is>
      </c>
      <c r="C10" s="26" t="n">
        <v>10000</v>
      </c>
    </row>
    <row r="11" ht="24" customHeight="1">
      <c r="A11" s="14" t="inlineStr">
        <is>
          <t>TOTAL  -  Tool Cost / Month (B)</t>
        </is>
      </c>
      <c r="B11" s="15" t="inlineStr"/>
      <c r="C11" s="17">
        <f>SUM(C5:C10)</f>
        <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2026-06-24T18:40:16Z</dcterms:created>
  <dcterms:modified xmlns:dcterms="http://purl.org/dc/terms/" xmlns:xsi="http://www.w3.org/2001/XMLSchema-instance" xsi:type="dcterms:W3CDTF">2026-06-24T18:40:16Z</dcterms:modified>
</cp:coreProperties>
</file>